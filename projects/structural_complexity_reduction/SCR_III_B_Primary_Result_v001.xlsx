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Inputs_G" sheetId="2" state="visible" r:id="rId4"/>
    <sheet name="Windows" sheetId="3" state="visible" r:id="rId5"/>
    <sheet name="FN_ids_1kT" sheetId="4" state="visible" r:id="rId6"/>
    <sheet name="Nulls" sheetId="5" state="visible" r:id="rId7"/>
    <sheet name="Files_No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<sst xmlns="http://schemas.openxmlformats.org/spreadsheetml/2006/main" count="104" uniqueCount="101">
  <si>
    <t xml:space="preserve">SCR-III-B Primary Experiment — Result (2026-10-10)</t>
  </si>
  <si>
    <t xml:space="preserve">Axis</t>
  </si>
  <si>
    <t xml:space="preserve">Result</t>
  </si>
  <si>
    <t xml:space="preserve">Evidence</t>
  </si>
  <si>
    <t xml:space="preserve">G — constructive contraction</t>
  </si>
  <si>
    <t xml:space="preserve">PASS</t>
  </si>
  <si>
    <t xml:space="preserve">Grammar set 2,604 states; constructive G2, scan G1 and numpy audit agree; contraction below; G2 traversal identical at all windows (target-blind)</t>
  </si>
  <si>
    <t xml:space="preserve">P — physical preservation</t>
  </si>
  <si>
    <t xml:space="preserve">FAIL</t>
  </si>
  <si>
    <t xml:space="preserve">At W = 1 kT the target has 26 states; 10 in grammar, 16 excluded (FN = 16)</t>
  </si>
  <si>
    <t xml:space="preserve">T — independent transfer</t>
  </si>
  <si>
    <t xml:space="preserve">NOT_TESTED</t>
  </si>
  <si>
    <t xml:space="preserve">By protocol</t>
  </si>
  <si>
    <t xml:space="preserve">C — charged computational benefit</t>
  </si>
  <si>
    <t xml:space="preserve">NOT_ELIGIBLE</t>
  </si>
  <si>
    <t xml:space="preserve">Requires P PASS; no timing run; no speed claim either way</t>
  </si>
  <si>
    <t xml:space="preserve">Window chosen knowing public 1x1 (0.871 kT) and 2x2 (0.952 kT) gaps; blindness was low-energy-outcome only. Verifier shares authorship with grammar code. Run on a Linux VM, 2 CPUs.</t>
  </si>
  <si>
    <t xml:space="preserve">Quantity</t>
  </si>
  <si>
    <t xml:space="preserve">Value</t>
  </si>
  <si>
    <t xml:space="preserve">Note</t>
  </si>
  <si>
    <t xml:space="preserve">Nominal configurations (2^24)</t>
  </si>
  <si>
    <t xml:space="preserve">24 spins</t>
  </si>
  <si>
    <t xml:space="preserve">Grammar survivors</t>
  </si>
  <si>
    <t xml:space="preserve">Constructive = scan = numpy audit</t>
  </si>
  <si>
    <t xml:space="preserve">Materialized by G2</t>
  </si>
  <si>
    <t xml:space="preserve">Counter 'materialized'</t>
  </si>
  <si>
    <t xml:space="preserve">G2 nodes visited</t>
  </si>
  <si>
    <t xml:space="preserve">Nominal contraction</t>
  </si>
  <si>
    <t xml:space="preserve">H-G threshold &gt;= 99%</t>
  </si>
  <si>
    <t xml:space="preserve">H-G contraction threshold</t>
  </si>
  <si>
    <t xml:space="preserve">Frozen</t>
  </si>
  <si>
    <t xml:space="preserve">H-G contraction check</t>
  </si>
  <si>
    <t xml:space="preserve">k_B T (units of A)</t>
  </si>
  <si>
    <t xml:space="preserve">kT_J / A_J; approximate display value</t>
  </si>
  <si>
    <t xml:space="preserve">kT (J)</t>
  </si>
  <si>
    <t xml:space="preserve">k_B x 792 K, exact SI k_B</t>
  </si>
  <si>
    <t xml:space="preserve">E0 (J)</t>
  </si>
  <si>
    <t xml:space="preserve">Frozen v007 anchor</t>
  </si>
  <si>
    <t xml:space="preserve">Δ_nonG (A units)</t>
  </si>
  <si>
    <t xml:space="preserve">cpp nullgap = numpy audit</t>
  </si>
  <si>
    <t xml:space="preserve">Δ_nonG (J)</t>
  </si>
  <si>
    <t xml:space="preserve">Δ_nonG / kT</t>
  </si>
  <si>
    <t xml:space="preserve">Excluded-state gap in kT</t>
  </si>
  <si>
    <t xml:space="preserve">tau (A units)</t>
  </si>
  <si>
    <t xml:space="preserve">1e-9 x sum|K|</t>
  </si>
  <si>
    <t xml:space="preserve">Window</t>
  </si>
  <si>
    <t xml:space="preserve">W / kT</t>
  </si>
  <si>
    <t xml:space="preserve">Target states</t>
  </si>
  <si>
    <t xml:space="preserve">In grammar</t>
  </si>
  <si>
    <t xml:space="preserve">False exclusions (FN)</t>
  </si>
  <si>
    <t xml:space="preserve">Fraction preserved</t>
  </si>
  <si>
    <t xml:space="preserve">W / Δ_nonG</t>
  </si>
  <si>
    <t xml:space="preserve">Preserved? (W+tau &lt; Δ)</t>
  </si>
  <si>
    <t xml:space="preserve">Unresolved boundary</t>
  </si>
  <si>
    <t xml:space="preserve">Solvers agree (B0,G1,G2,B1,E2)</t>
  </si>
  <si>
    <t xml:space="preserve">FN consistent with gap theorem</t>
  </si>
  <si>
    <t xml:space="preserve">0.5 kT sensitivity</t>
  </si>
  <si>
    <t xml:space="preserve">yes</t>
  </si>
  <si>
    <t xml:space="preserve">1 kT PRIMARY</t>
  </si>
  <si>
    <t xml:space="preserve">2 kT sensitivity</t>
  </si>
  <si>
    <t xml:space="preserve">Sensitivity windows cannot rescue the primary failure. Numpy audit target = B0 target at every window; zero near-boundary states.</t>
  </si>
  <si>
    <t xml:space="preserve">#</t>
  </si>
  <si>
    <t xml:space="preserve">Excluded target state id (primary window)</t>
  </si>
  <si>
    <t xml:space="preserve">Count</t>
  </si>
  <si>
    <t xml:space="preserve">Smallest id 2726297 attains Δ_nonG (0.9429 kT).</t>
  </si>
  <si>
    <t xml:space="preserve">Metric</t>
  </si>
  <si>
    <t xml:space="preserve">N1 degree-preserving</t>
  </si>
  <si>
    <t xml:space="preserve">N2 free incidence</t>
  </si>
  <si>
    <t xml:space="preserve">Valid nulls</t>
  </si>
  <si>
    <t xml:space="preserve">cap 5,000 draws each</t>
  </si>
  <si>
    <t xml:space="preserve">Draws attempted</t>
  </si>
  <si>
    <t xml:space="preserve">N2: 9 empty-grammar rejections</t>
  </si>
  <si>
    <t xml:space="preserve">Survivors min</t>
  </si>
  <si>
    <t xml:space="preserve">Survivors median</t>
  </si>
  <si>
    <t xml:space="preserve">Survivors max</t>
  </si>
  <si>
    <t xml:space="preserve">Real survivors</t>
  </si>
  <si>
    <t xml:space="preserve">Fraction of nulls with survivors &lt;= real</t>
  </si>
  <si>
    <t xml:space="preserve">descriptive</t>
  </si>
  <si>
    <t xml:space="preserve">Δ_null median (A units)</t>
  </si>
  <si>
    <t xml:space="preserve">Δ_null max (A units)</t>
  </si>
  <si>
    <t xml:space="preserve">Real Δ_nonG (A units)</t>
  </si>
  <si>
    <t xml:space="preserve">Fraction of nulls with Δ &gt;= real</t>
  </si>
  <si>
    <t xml:space="preserve">Null preservation at 0.5 kT</t>
  </si>
  <si>
    <t xml:space="preserve">fraction preserved</t>
  </si>
  <si>
    <t xml:space="preserve">Null preservation at 1 kT</t>
  </si>
  <si>
    <t xml:space="preserve">Null preservation at 2 kT</t>
  </si>
  <si>
    <t xml:space="preserve">Descriptive only. No p-value, threshold or null-superiority verdict is authorized by the protocol.</t>
  </si>
  <si>
    <t xml:space="preserve">Item</t>
  </si>
  <si>
    <t xml:space="preserve">Detail</t>
  </si>
  <si>
    <t xml:space="preserve">Authorization</t>
  </si>
  <si>
    <t xml:space="preserve">PRIMARY_AUTHORIZATION_v001.md (+ Addendum A)</t>
  </si>
  <si>
    <t xml:space="preserve">Driver</t>
  </si>
  <si>
    <t xml:space="preserve">scr_iii_b/primary_exec/primary_run_v001.py, sha256 2df16134…0c18b</t>
  </si>
  <si>
    <t xml:space="preserve">Result record</t>
  </si>
  <si>
    <t xml:space="preserve">PRIMARY_RESULT_v001.md; scr_iii_b/output/primary/PRIMARY_RESULT_v001.json</t>
  </si>
  <si>
    <t xml:space="preserve">Aborted first launch</t>
  </si>
  <si>
    <t xml:space="preserve">Killed by host sandbox in null phase; kept in output/primary/aborted_run_1/; values not used</t>
  </si>
  <si>
    <t xml:space="preserve">Not on disk</t>
  </si>
  <si>
    <t xml:space="preserve">Original Dryad sources and PREFLIGHT_v005–v009 zips; verified via extracted-tree manifests</t>
  </si>
  <si>
    <t xml:space="preserve">Source of figures</t>
  </si>
  <si>
    <t xml:space="preserve">Typed from the primary run output (PRIMARY_RESULT_v001.json); blue = hardcoded from run, black = formula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</si>
</sst>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000%"/>
    <numFmt numFmtId="167" formatCode="0.0%"/>
    <numFmt numFmtId="168" formatCode="0.000000"/>
    <numFmt numFmtId="169" formatCode="0.000000E+00"/>
    <numFmt numFmtId="170" formatCode="0.0000"/>
    <numFmt numFmtId="171" formatCode="0.00E+00"/>
    <numFmt numFmtId="172" formatCode="0.000"/>
    <numFmt numFmtId="173" formatCode="0"/>
    <numFmt numFmtId="174" formatCode="0.0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E7E6E6"/>
      </patternFill>
    </fill>
    <fill>
      <patternFill patternType="solid">
        <fgColor rgb="FFE7E6E6"/>
        <bgColor rgb="FFC6EF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70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72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73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95"/>
  </cols>
  <sheetData>
    <row r="1" customFormat="false" ht="17.3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</row>
    <row r="4" customFormat="false" ht="26.85" hidden="false" customHeight="false" outlineLevel="0" collapsed="false">
      <c r="A4" s="4" t="s">
        <v>4</v>
      </c>
      <c r="B4" s="5" t="s">
        <v>5</v>
      </c>
      <c r="C4" s="4" t="s">
        <v>6</v>
      </c>
    </row>
    <row r="5" customFormat="false" ht="15" hidden="false" customHeight="false" outlineLevel="0" collapsed="false">
      <c r="A5" s="4" t="s">
        <v>7</v>
      </c>
      <c r="B5" s="6" t="s">
        <v>8</v>
      </c>
      <c r="C5" s="4" t="s">
        <v>9</v>
      </c>
    </row>
    <row r="6" customFormat="false" ht="15" hidden="false" customHeight="false" outlineLevel="0" collapsed="false">
      <c r="A6" s="4" t="s">
        <v>10</v>
      </c>
      <c r="B6" s="7" t="s">
        <v>11</v>
      </c>
      <c r="C6" s="4" t="s">
        <v>12</v>
      </c>
    </row>
    <row r="7" customFormat="false" ht="15" hidden="false" customHeight="false" outlineLevel="0" collapsed="false">
      <c r="A7" s="4" t="s">
        <v>13</v>
      </c>
      <c r="B7" s="7" t="s">
        <v>14</v>
      </c>
      <c r="C7" s="4" t="s">
        <v>15</v>
      </c>
    </row>
    <row r="9" customFormat="false" ht="15" hidden="false" customHeight="false" outlineLevel="0" collapsed="false">
      <c r="A9" s="8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48"/>
  </cols>
  <sheetData>
    <row r="1" customFormat="false" ht="15" hidden="false" customHeight="false" outlineLevel="0" collapsed="false">
      <c r="A1" s="3" t="s">
        <v>17</v>
      </c>
      <c r="B1" s="3" t="s">
        <v>18</v>
      </c>
      <c r="C1" s="3" t="s">
        <v>19</v>
      </c>
    </row>
    <row r="2" customFormat="false" ht="15" hidden="false" customHeight="false" outlineLevel="0" collapsed="false">
      <c r="A2" s="4" t="s">
        <v>20</v>
      </c>
      <c r="B2" s="9" t="n">
        <f aca="false">2^24</f>
        <v>16777216</v>
      </c>
      <c r="C2" s="4" t="s">
        <v>21</v>
      </c>
    </row>
    <row r="3" customFormat="false" ht="15" hidden="false" customHeight="false" outlineLevel="0" collapsed="false">
      <c r="A3" s="4" t="s">
        <v>22</v>
      </c>
      <c r="B3" s="10" t="n">
        <v>2604</v>
      </c>
      <c r="C3" s="4" t="s">
        <v>23</v>
      </c>
    </row>
    <row r="4" customFormat="false" ht="15" hidden="false" customHeight="false" outlineLevel="0" collapsed="false">
      <c r="A4" s="4" t="s">
        <v>24</v>
      </c>
      <c r="B4" s="10" t="n">
        <v>2604</v>
      </c>
      <c r="C4" s="4" t="s">
        <v>25</v>
      </c>
    </row>
    <row r="5" customFormat="false" ht="15" hidden="false" customHeight="false" outlineLevel="0" collapsed="false">
      <c r="A5" s="4" t="s">
        <v>26</v>
      </c>
      <c r="B5" s="10" t="n">
        <v>25786</v>
      </c>
      <c r="C5" s="4"/>
    </row>
    <row r="6" customFormat="false" ht="15" hidden="false" customHeight="false" outlineLevel="0" collapsed="false">
      <c r="A6" s="4" t="s">
        <v>27</v>
      </c>
      <c r="B6" s="11" t="n">
        <f aca="false">1-B4/B2</f>
        <v>0.999844789505005</v>
      </c>
      <c r="C6" s="4" t="s">
        <v>28</v>
      </c>
    </row>
    <row r="7" customFormat="false" ht="15" hidden="false" customHeight="false" outlineLevel="0" collapsed="false">
      <c r="A7" s="4" t="s">
        <v>29</v>
      </c>
      <c r="B7" s="12" t="n">
        <v>0.99</v>
      </c>
      <c r="C7" s="4" t="s">
        <v>30</v>
      </c>
    </row>
    <row r="8" customFormat="false" ht="15" hidden="false" customHeight="false" outlineLevel="0" collapsed="false">
      <c r="A8" s="4" t="s">
        <v>31</v>
      </c>
      <c r="B8" s="4" t="str">
        <f aca="false">IF(B6&gt;=B7,"PASS","FAIL")</f>
        <v>PASS</v>
      </c>
      <c r="C8" s="4"/>
    </row>
    <row r="9" customFormat="false" ht="15" hidden="false" customHeight="false" outlineLevel="0" collapsed="false">
      <c r="A9" s="4" t="s">
        <v>32</v>
      </c>
      <c r="B9" s="13" t="n">
        <v>0.010831</v>
      </c>
      <c r="C9" s="4" t="s">
        <v>33</v>
      </c>
    </row>
    <row r="10" customFormat="false" ht="15" hidden="false" customHeight="false" outlineLevel="0" collapsed="false">
      <c r="A10" s="4" t="s">
        <v>34</v>
      </c>
      <c r="B10" s="13" t="n">
        <v>1.093474008E-020</v>
      </c>
      <c r="C10" s="4" t="s">
        <v>35</v>
      </c>
    </row>
    <row r="11" customFormat="false" ht="15" hidden="false" customHeight="false" outlineLevel="0" collapsed="false">
      <c r="A11" s="4" t="s">
        <v>36</v>
      </c>
      <c r="B11" s="14" t="n">
        <v>-9.27199475180373E-020</v>
      </c>
      <c r="C11" s="4" t="s">
        <v>37</v>
      </c>
    </row>
    <row r="12" customFormat="false" ht="15" hidden="false" customHeight="false" outlineLevel="0" collapsed="false">
      <c r="A12" s="4" t="s">
        <v>38</v>
      </c>
      <c r="B12" s="14" t="n">
        <v>0.0102125460582886</v>
      </c>
      <c r="C12" s="4" t="s">
        <v>39</v>
      </c>
    </row>
    <row r="13" customFormat="false" ht="15" hidden="false" customHeight="false" outlineLevel="0" collapsed="false">
      <c r="A13" s="4" t="s">
        <v>40</v>
      </c>
      <c r="B13" s="13" t="n">
        <v>1.0310349155819E-020</v>
      </c>
      <c r="C13" s="4"/>
    </row>
    <row r="14" customFormat="false" ht="15" hidden="false" customHeight="false" outlineLevel="0" collapsed="false">
      <c r="A14" s="4" t="s">
        <v>41</v>
      </c>
      <c r="B14" s="15" t="n">
        <f aca="false">B12/B9</f>
        <v>0.94289964530409</v>
      </c>
      <c r="C14" s="4" t="s">
        <v>42</v>
      </c>
    </row>
    <row r="15" customFormat="false" ht="15" hidden="false" customHeight="false" outlineLevel="0" collapsed="false">
      <c r="A15" s="4" t="s">
        <v>43</v>
      </c>
      <c r="B15" s="16" t="n">
        <v>1.72064447523765E-010</v>
      </c>
      <c r="C15" s="4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1" min="10" style="1" width="16"/>
  </cols>
  <sheetData>
    <row r="1" customFormat="false" ht="48" hidden="false" customHeight="true" outlineLevel="0" collapsed="false">
      <c r="A1" s="3" t="s">
        <v>45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  <c r="K1" s="3" t="s">
        <v>55</v>
      </c>
    </row>
    <row r="2" customFormat="false" ht="15" hidden="false" customHeight="false" outlineLevel="0" collapsed="false">
      <c r="A2" s="4" t="s">
        <v>56</v>
      </c>
      <c r="B2" s="17" t="n">
        <v>0.5</v>
      </c>
      <c r="C2" s="17" t="n">
        <v>2</v>
      </c>
      <c r="D2" s="17" t="n">
        <v>2</v>
      </c>
      <c r="E2" s="4" t="n">
        <f aca="false">C2-D2</f>
        <v>0</v>
      </c>
      <c r="F2" s="18" t="n">
        <f aca="false">D2/C2</f>
        <v>1</v>
      </c>
      <c r="G2" s="19" t="n">
        <f aca="false">B2*Inputs_G!$B$9/Inputs_G!$B$12</f>
        <v>0.530279126193485</v>
      </c>
      <c r="H2" s="4" t="str">
        <f aca="false">IF(B2*Inputs_G!$B$9+Inputs_G!$B$15&lt;Inputs_G!$B$12,"yes","no")</f>
        <v>yes</v>
      </c>
      <c r="I2" s="17" t="n">
        <v>0</v>
      </c>
      <c r="J2" s="17" t="s">
        <v>57</v>
      </c>
      <c r="K2" s="4" t="str">
        <f aca="false">IF((E2=0)=(H2="yes"),"yes","NO")</f>
        <v>yes</v>
      </c>
    </row>
    <row r="3" customFormat="false" ht="15" hidden="false" customHeight="false" outlineLevel="0" collapsed="false">
      <c r="A3" s="20" t="s">
        <v>58</v>
      </c>
      <c r="B3" s="17" t="n">
        <v>1</v>
      </c>
      <c r="C3" s="17" t="n">
        <v>26</v>
      </c>
      <c r="D3" s="17" t="n">
        <v>10</v>
      </c>
      <c r="E3" s="4" t="n">
        <f aca="false">C3-D3</f>
        <v>16</v>
      </c>
      <c r="F3" s="18" t="n">
        <f aca="false">D3/C3</f>
        <v>0.384615384615385</v>
      </c>
      <c r="G3" s="19" t="n">
        <f aca="false">B3*Inputs_G!$B$9/Inputs_G!$B$12</f>
        <v>1.06055825238697</v>
      </c>
      <c r="H3" s="4" t="str">
        <f aca="false">IF(B3*Inputs_G!$B$9+Inputs_G!$B$15&lt;Inputs_G!$B$12,"yes","no")</f>
        <v>no</v>
      </c>
      <c r="I3" s="17" t="n">
        <v>0</v>
      </c>
      <c r="J3" s="17" t="s">
        <v>57</v>
      </c>
      <c r="K3" s="4" t="str">
        <f aca="false">IF((E3=0)=(H3="yes"),"yes","NO")</f>
        <v>yes</v>
      </c>
    </row>
    <row r="4" customFormat="false" ht="15" hidden="false" customHeight="false" outlineLevel="0" collapsed="false">
      <c r="A4" s="4" t="s">
        <v>59</v>
      </c>
      <c r="B4" s="17" t="n">
        <v>2</v>
      </c>
      <c r="C4" s="17" t="n">
        <v>434</v>
      </c>
      <c r="D4" s="17" t="n">
        <v>146</v>
      </c>
      <c r="E4" s="4" t="n">
        <f aca="false">C4-D4</f>
        <v>288</v>
      </c>
      <c r="F4" s="18" t="n">
        <f aca="false">D4/C4</f>
        <v>0.336405529953917</v>
      </c>
      <c r="G4" s="19" t="n">
        <f aca="false">B4*Inputs_G!$B$9/Inputs_G!$B$12</f>
        <v>2.12111650477394</v>
      </c>
      <c r="H4" s="4" t="str">
        <f aca="false">IF(B4*Inputs_G!$B$9+Inputs_G!$B$15&lt;Inputs_G!$B$12,"yes","no")</f>
        <v>no</v>
      </c>
      <c r="I4" s="17" t="n">
        <v>0</v>
      </c>
      <c r="J4" s="17" t="s">
        <v>57</v>
      </c>
      <c r="K4" s="4" t="str">
        <f aca="false">IF((E4=0)=(H4="yes"),"yes","NO")</f>
        <v>yes</v>
      </c>
    </row>
    <row r="6" customFormat="false" ht="15" hidden="false" customHeight="false" outlineLevel="0" collapsed="false">
      <c r="A6" s="8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</cols>
  <sheetData>
    <row r="1" customFormat="false" ht="26.85" hidden="false" customHeight="false" outlineLevel="0" collapsed="false">
      <c r="A1" s="3" t="s">
        <v>61</v>
      </c>
      <c r="B1" s="3" t="s">
        <v>62</v>
      </c>
    </row>
    <row r="2" customFormat="false" ht="15" hidden="false" customHeight="false" outlineLevel="0" collapsed="false">
      <c r="A2" s="4" t="n">
        <v>1</v>
      </c>
      <c r="B2" s="21" t="n">
        <v>2726297</v>
      </c>
    </row>
    <row r="3" customFormat="false" ht="15" hidden="false" customHeight="false" outlineLevel="0" collapsed="false">
      <c r="A3" s="4" t="n">
        <v>2</v>
      </c>
      <c r="B3" s="21" t="n">
        <v>4613734</v>
      </c>
    </row>
    <row r="4" customFormat="false" ht="15" hidden="false" customHeight="false" outlineLevel="0" collapsed="false">
      <c r="A4" s="4" t="n">
        <v>3</v>
      </c>
      <c r="B4" s="21" t="n">
        <v>5400166</v>
      </c>
    </row>
    <row r="5" customFormat="false" ht="15" hidden="false" customHeight="false" outlineLevel="0" collapsed="false">
      <c r="A5" s="4" t="n">
        <v>4</v>
      </c>
      <c r="B5" s="21" t="n">
        <v>5531238</v>
      </c>
    </row>
    <row r="6" customFormat="false" ht="15" hidden="false" customHeight="false" outlineLevel="0" collapsed="false">
      <c r="A6" s="4" t="n">
        <v>5</v>
      </c>
      <c r="B6" s="21" t="n">
        <v>5654118</v>
      </c>
    </row>
    <row r="7" customFormat="false" ht="15" hidden="false" customHeight="false" outlineLevel="0" collapsed="false">
      <c r="A7" s="4" t="n">
        <v>6</v>
      </c>
      <c r="B7" s="21" t="n">
        <v>5662326</v>
      </c>
    </row>
    <row r="8" customFormat="false" ht="15" hidden="false" customHeight="false" outlineLevel="0" collapsed="false">
      <c r="A8" s="4" t="n">
        <v>7</v>
      </c>
      <c r="B8" s="21" t="n">
        <v>5727846</v>
      </c>
    </row>
    <row r="9" customFormat="false" ht="15" hidden="false" customHeight="false" outlineLevel="0" collapsed="false">
      <c r="A9" s="4" t="n">
        <v>8</v>
      </c>
      <c r="B9" s="21" t="n">
        <v>7759462</v>
      </c>
    </row>
    <row r="10" customFormat="false" ht="15" hidden="false" customHeight="false" outlineLevel="0" collapsed="false">
      <c r="A10" s="4" t="n">
        <v>9</v>
      </c>
      <c r="B10" s="21" t="n">
        <v>9017753</v>
      </c>
    </row>
    <row r="11" customFormat="false" ht="15" hidden="false" customHeight="false" outlineLevel="0" collapsed="false">
      <c r="A11" s="4" t="n">
        <v>10</v>
      </c>
      <c r="B11" s="21" t="n">
        <v>11049369</v>
      </c>
    </row>
    <row r="12" customFormat="false" ht="15" hidden="false" customHeight="false" outlineLevel="0" collapsed="false">
      <c r="A12" s="4" t="n">
        <v>11</v>
      </c>
      <c r="B12" s="21" t="n">
        <v>11114889</v>
      </c>
    </row>
    <row r="13" customFormat="false" ht="15" hidden="false" customHeight="false" outlineLevel="0" collapsed="false">
      <c r="A13" s="4" t="n">
        <v>12</v>
      </c>
      <c r="B13" s="21" t="n">
        <v>11123097</v>
      </c>
    </row>
    <row r="14" customFormat="false" ht="15" hidden="false" customHeight="false" outlineLevel="0" collapsed="false">
      <c r="A14" s="4" t="n">
        <v>13</v>
      </c>
      <c r="B14" s="21" t="n">
        <v>11245977</v>
      </c>
    </row>
    <row r="15" customFormat="false" ht="15" hidden="false" customHeight="false" outlineLevel="0" collapsed="false">
      <c r="A15" s="4" t="n">
        <v>14</v>
      </c>
      <c r="B15" s="21" t="n">
        <v>11377049</v>
      </c>
    </row>
    <row r="16" customFormat="false" ht="15" hidden="false" customHeight="false" outlineLevel="0" collapsed="false">
      <c r="A16" s="4" t="n">
        <v>15</v>
      </c>
      <c r="B16" s="21" t="n">
        <v>12163481</v>
      </c>
    </row>
    <row r="17" customFormat="false" ht="15" hidden="false" customHeight="false" outlineLevel="0" collapsed="false">
      <c r="A17" s="4" t="n">
        <v>16</v>
      </c>
      <c r="B17" s="21" t="n">
        <v>14050918</v>
      </c>
    </row>
    <row r="19" customFormat="false" ht="15" hidden="false" customHeight="false" outlineLevel="0" collapsed="false">
      <c r="A19" s="22" t="s">
        <v>63</v>
      </c>
      <c r="B19" s="1" t="n">
        <f aca="false">COUNT(B2:B17)</f>
        <v>16</v>
      </c>
    </row>
    <row r="20" customFormat="false" ht="15" hidden="false" customHeight="false" outlineLevel="0" collapsed="false">
      <c r="A20" s="8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34"/>
  </cols>
  <sheetData>
    <row r="1" customFormat="false" ht="15" hidden="false" customHeight="false" outlineLevel="0" collapsed="false">
      <c r="A1" s="3" t="s">
        <v>65</v>
      </c>
      <c r="B1" s="3" t="s">
        <v>66</v>
      </c>
      <c r="C1" s="3" t="s">
        <v>67</v>
      </c>
      <c r="D1" s="3" t="s">
        <v>19</v>
      </c>
    </row>
    <row r="2" customFormat="false" ht="15" hidden="false" customHeight="false" outlineLevel="0" collapsed="false">
      <c r="A2" s="4" t="s">
        <v>68</v>
      </c>
      <c r="B2" s="17" t="n">
        <v>1000</v>
      </c>
      <c r="C2" s="17" t="n">
        <v>1000</v>
      </c>
      <c r="D2" s="4" t="s">
        <v>69</v>
      </c>
    </row>
    <row r="3" customFormat="false" ht="15" hidden="false" customHeight="false" outlineLevel="0" collapsed="false">
      <c r="A3" s="4" t="s">
        <v>70</v>
      </c>
      <c r="B3" s="17" t="n">
        <v>1000</v>
      </c>
      <c r="C3" s="17" t="n">
        <v>1009</v>
      </c>
      <c r="D3" s="4" t="s">
        <v>71</v>
      </c>
    </row>
    <row r="4" customFormat="false" ht="15" hidden="false" customHeight="false" outlineLevel="0" collapsed="false">
      <c r="A4" s="4" t="s">
        <v>72</v>
      </c>
      <c r="B4" s="17" t="n">
        <v>2552</v>
      </c>
      <c r="C4" s="17" t="n">
        <v>256</v>
      </c>
      <c r="D4" s="4"/>
    </row>
    <row r="5" customFormat="false" ht="15" hidden="false" customHeight="false" outlineLevel="0" collapsed="false">
      <c r="A5" s="4" t="s">
        <v>73</v>
      </c>
      <c r="B5" s="17" t="n">
        <v>2970</v>
      </c>
      <c r="C5" s="17" t="n">
        <v>2432</v>
      </c>
      <c r="D5" s="4"/>
    </row>
    <row r="6" customFormat="false" ht="15" hidden="false" customHeight="false" outlineLevel="0" collapsed="false">
      <c r="A6" s="4" t="s">
        <v>74</v>
      </c>
      <c r="B6" s="17" t="n">
        <v>7560</v>
      </c>
      <c r="C6" s="17" t="n">
        <v>6336</v>
      </c>
      <c r="D6" s="4"/>
    </row>
    <row r="7" customFormat="false" ht="15" hidden="false" customHeight="false" outlineLevel="0" collapsed="false">
      <c r="A7" s="4" t="s">
        <v>75</v>
      </c>
      <c r="B7" s="17" t="n">
        <v>2604</v>
      </c>
      <c r="C7" s="17" t="n">
        <v>2604</v>
      </c>
      <c r="D7" s="4"/>
    </row>
    <row r="8" customFormat="false" ht="15" hidden="false" customHeight="false" outlineLevel="0" collapsed="false">
      <c r="A8" s="4" t="s">
        <v>76</v>
      </c>
      <c r="B8" s="12" t="n">
        <v>0.016</v>
      </c>
      <c r="C8" s="12" t="n">
        <v>0.589</v>
      </c>
      <c r="D8" s="4" t="s">
        <v>77</v>
      </c>
    </row>
    <row r="9" customFormat="false" ht="15" hidden="false" customHeight="false" outlineLevel="0" collapsed="false">
      <c r="A9" s="4" t="s">
        <v>78</v>
      </c>
      <c r="B9" s="17" t="n">
        <v>0</v>
      </c>
      <c r="C9" s="17" t="n">
        <v>0</v>
      </c>
      <c r="D9" s="4"/>
    </row>
    <row r="10" customFormat="false" ht="15" hidden="false" customHeight="false" outlineLevel="0" collapsed="false">
      <c r="A10" s="4" t="s">
        <v>79</v>
      </c>
      <c r="B10" s="23" t="n">
        <v>0.00770315509466395</v>
      </c>
      <c r="C10" s="17" t="n">
        <v>0</v>
      </c>
      <c r="D10" s="4"/>
    </row>
    <row r="11" customFormat="false" ht="15" hidden="false" customHeight="false" outlineLevel="0" collapsed="false">
      <c r="A11" s="4" t="s">
        <v>80</v>
      </c>
      <c r="B11" s="23" t="n">
        <f aca="false">Inputs_G!B12</f>
        <v>0.0102125460582886</v>
      </c>
      <c r="C11" s="23" t="n">
        <f aca="false">Inputs_G!B12</f>
        <v>0.0102125460582886</v>
      </c>
      <c r="D11" s="4"/>
    </row>
    <row r="12" customFormat="false" ht="15" hidden="false" customHeight="false" outlineLevel="0" collapsed="false">
      <c r="A12" s="4" t="s">
        <v>81</v>
      </c>
      <c r="B12" s="12" t="n">
        <v>0</v>
      </c>
      <c r="C12" s="12" t="n">
        <v>0</v>
      </c>
      <c r="D12" s="4"/>
    </row>
    <row r="13" customFormat="false" ht="15" hidden="false" customHeight="false" outlineLevel="0" collapsed="false">
      <c r="A13" s="4" t="s">
        <v>82</v>
      </c>
      <c r="B13" s="12" t="n">
        <v>0.003</v>
      </c>
      <c r="C13" s="12" t="n">
        <v>0</v>
      </c>
      <c r="D13" s="4" t="s">
        <v>83</v>
      </c>
    </row>
    <row r="14" customFormat="false" ht="15" hidden="false" customHeight="false" outlineLevel="0" collapsed="false">
      <c r="A14" s="4" t="s">
        <v>84</v>
      </c>
      <c r="B14" s="12" t="n">
        <v>0</v>
      </c>
      <c r="C14" s="12" t="n">
        <v>0</v>
      </c>
      <c r="D14" s="4"/>
    </row>
    <row r="15" customFormat="false" ht="15" hidden="false" customHeight="false" outlineLevel="0" collapsed="false">
      <c r="A15" s="4" t="s">
        <v>85</v>
      </c>
      <c r="B15" s="12" t="n">
        <v>0</v>
      </c>
      <c r="C15" s="12" t="n">
        <v>0</v>
      </c>
      <c r="D15" s="4"/>
    </row>
    <row r="17" customFormat="false" ht="15" hidden="false" customHeight="false" outlineLevel="0" collapsed="false">
      <c r="A17" s="8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0"/>
  </cols>
  <sheetData>
    <row r="1" customFormat="false" ht="15" hidden="false" customHeight="false" outlineLevel="0" collapsed="false">
      <c r="A1" s="3" t="s">
        <v>87</v>
      </c>
      <c r="B1" s="3" t="s">
        <v>88</v>
      </c>
    </row>
    <row r="2" customFormat="false" ht="15" hidden="false" customHeight="false" outlineLevel="0" collapsed="false">
      <c r="A2" s="4" t="s">
        <v>89</v>
      </c>
      <c r="B2" s="4" t="s">
        <v>90</v>
      </c>
    </row>
    <row r="3" customFormat="false" ht="15" hidden="false" customHeight="false" outlineLevel="0" collapsed="false">
      <c r="A3" s="4" t="s">
        <v>91</v>
      </c>
      <c r="B3" s="4" t="s">
        <v>92</v>
      </c>
    </row>
    <row r="4" customFormat="false" ht="15" hidden="false" customHeight="false" outlineLevel="0" collapsed="false">
      <c r="A4" s="4" t="s">
        <v>93</v>
      </c>
      <c r="B4" s="4" t="s">
        <v>94</v>
      </c>
    </row>
    <row r="5" customFormat="false" ht="15" hidden="false" customHeight="false" outlineLevel="0" collapsed="false">
      <c r="A5" s="4" t="s">
        <v>95</v>
      </c>
      <c r="B5" s="4" t="s">
        <v>96</v>
      </c>
    </row>
    <row r="6" customFormat="false" ht="15" hidden="false" customHeight="false" outlineLevel="0" collapsed="false">
      <c r="A6" s="4" t="s">
        <v>97</v>
      </c>
      <c r="B6" s="4" t="s">
        <v>98</v>
      </c>
    </row>
    <row r="7" customFormat="false" ht="26.85" hidden="false" customHeight="false" outlineLevel="0" collapsed="false">
      <c r="A7" s="4" t="s">
        <v>99</v>
      </c>
      <c r="B7" s="4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2026-10-10T06:52:34Z</dcterms:created>
  <dc:creator>openpyxl</dc:creator>
  <dc:description/>
  <dc:language>en-US</dc:language>
  <cp:lastModifiedBy/>
  <dcterms:modified xsi:type="dcterms:W3CDTF">2026-10-10T06:52:34Z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